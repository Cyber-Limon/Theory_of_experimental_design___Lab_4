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Загрузки\ТПЭ\"/>
    </mc:Choice>
  </mc:AlternateContent>
  <xr:revisionPtr revIDLastSave="0" documentId="13_ncr:1_{FC76D464-A4AA-494C-879F-280763CE4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Лист1!$R$28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1" l="1"/>
  <c r="W33" i="1"/>
  <c r="V33" i="1"/>
  <c r="U34" i="1"/>
  <c r="U35" i="1"/>
  <c r="U40" i="1" s="1"/>
  <c r="U36" i="1"/>
  <c r="U37" i="1"/>
  <c r="U38" i="1"/>
  <c r="U39" i="1"/>
  <c r="U33" i="1"/>
  <c r="T35" i="1"/>
  <c r="T34" i="1"/>
  <c r="T36" i="1"/>
  <c r="T37" i="1"/>
  <c r="T38" i="1"/>
  <c r="T39" i="1"/>
  <c r="T33" i="1"/>
  <c r="S34" i="1"/>
  <c r="S35" i="1"/>
  <c r="S36" i="1"/>
  <c r="S37" i="1"/>
  <c r="S38" i="1"/>
  <c r="S39" i="1"/>
  <c r="N34" i="1"/>
  <c r="N35" i="1"/>
  <c r="N36" i="1"/>
  <c r="N37" i="1"/>
  <c r="N38" i="1"/>
  <c r="N39" i="1"/>
  <c r="N33" i="1"/>
  <c r="N40" i="1" s="1"/>
  <c r="M34" i="1"/>
  <c r="M33" i="1"/>
  <c r="L33" i="1"/>
  <c r="L40" i="1" s="1"/>
  <c r="K34" i="1"/>
  <c r="K35" i="1"/>
  <c r="K36" i="1"/>
  <c r="K33" i="1"/>
  <c r="D33" i="1"/>
  <c r="D34" i="1"/>
  <c r="L34" i="1" s="1"/>
  <c r="D35" i="1"/>
  <c r="L35" i="1" s="1"/>
  <c r="D36" i="1"/>
  <c r="L36" i="1" s="1"/>
  <c r="D37" i="1"/>
  <c r="L37" i="1" s="1"/>
  <c r="D38" i="1"/>
  <c r="L38" i="1" s="1"/>
  <c r="D39" i="1"/>
  <c r="L39" i="1" s="1"/>
  <c r="D32" i="1"/>
  <c r="D40" i="1"/>
  <c r="R33" i="1" s="1"/>
  <c r="C33" i="1"/>
  <c r="C40" i="1" s="1"/>
  <c r="C34" i="1"/>
  <c r="C35" i="1"/>
  <c r="M35" i="1" s="1"/>
  <c r="C36" i="1"/>
  <c r="M36" i="1" s="1"/>
  <c r="C37" i="1"/>
  <c r="K37" i="1" s="1"/>
  <c r="C38" i="1"/>
  <c r="K38" i="1" s="1"/>
  <c r="C39" i="1"/>
  <c r="K39" i="1" s="1"/>
  <c r="C32" i="1"/>
  <c r="G3" i="1"/>
  <c r="O28" i="1"/>
  <c r="L23" i="1"/>
  <c r="D23" i="1"/>
  <c r="D24" i="1"/>
  <c r="D25" i="1"/>
  <c r="D26" i="1"/>
  <c r="D27" i="1"/>
  <c r="D28" i="1"/>
  <c r="D29" i="1"/>
  <c r="D22" i="1"/>
  <c r="C23" i="1"/>
  <c r="C24" i="1"/>
  <c r="L24" i="1" s="1"/>
  <c r="C25" i="1"/>
  <c r="C26" i="1"/>
  <c r="O26" i="1" s="1"/>
  <c r="C27" i="1"/>
  <c r="O27" i="1" s="1"/>
  <c r="C28" i="1"/>
  <c r="K28" i="1" s="1"/>
  <c r="C29" i="1"/>
  <c r="K29" i="1" s="1"/>
  <c r="C22" i="1"/>
  <c r="D12" i="1"/>
  <c r="D13" i="1"/>
  <c r="C12" i="1"/>
  <c r="C13" i="1"/>
  <c r="K13" i="1" s="1"/>
  <c r="D14" i="1"/>
  <c r="D15" i="1"/>
  <c r="D16" i="1"/>
  <c r="D17" i="1"/>
  <c r="D18" i="1"/>
  <c r="D19" i="1"/>
  <c r="C14" i="1"/>
  <c r="K14" i="1" s="1"/>
  <c r="C15" i="1"/>
  <c r="K15" i="1" s="1"/>
  <c r="C16" i="1"/>
  <c r="K16" i="1" s="1"/>
  <c r="C17" i="1"/>
  <c r="K17" i="1" s="1"/>
  <c r="C18" i="1"/>
  <c r="K18" i="1" s="1"/>
  <c r="C19" i="1"/>
  <c r="T40" i="1" l="1"/>
  <c r="K40" i="1"/>
  <c r="M39" i="1"/>
  <c r="M38" i="1"/>
  <c r="M37" i="1"/>
  <c r="M40" i="1" s="1"/>
  <c r="M24" i="1"/>
  <c r="D30" i="1"/>
  <c r="K27" i="1"/>
  <c r="L28" i="1"/>
  <c r="M23" i="1"/>
  <c r="L27" i="1"/>
  <c r="M27" i="1" s="1"/>
  <c r="N28" i="1"/>
  <c r="K23" i="1"/>
  <c r="N27" i="1"/>
  <c r="L29" i="1"/>
  <c r="K25" i="1"/>
  <c r="N29" i="1"/>
  <c r="M29" i="1"/>
  <c r="M28" i="1"/>
  <c r="O25" i="1"/>
  <c r="N24" i="1"/>
  <c r="N26" i="1"/>
  <c r="O23" i="1"/>
  <c r="O24" i="1"/>
  <c r="L25" i="1"/>
  <c r="N25" i="1"/>
  <c r="C30" i="1"/>
  <c r="O29" i="1"/>
  <c r="K26" i="1"/>
  <c r="K24" i="1"/>
  <c r="N23" i="1"/>
  <c r="L26" i="1"/>
  <c r="M26" i="1" s="1"/>
  <c r="C20" i="1"/>
  <c r="L19" i="1"/>
  <c r="L18" i="1"/>
  <c r="L17" i="1"/>
  <c r="L16" i="1"/>
  <c r="L15" i="1"/>
  <c r="L14" i="1"/>
  <c r="K19" i="1"/>
  <c r="K20" i="1" s="1"/>
  <c r="L13" i="1"/>
  <c r="D20" i="1"/>
  <c r="O33" i="1" l="1"/>
  <c r="Q33" i="1" s="1"/>
  <c r="P33" i="1"/>
  <c r="S23" i="1"/>
  <c r="J3" i="1" s="1"/>
  <c r="T23" i="1"/>
  <c r="N30" i="1"/>
  <c r="L30" i="1"/>
  <c r="K30" i="1"/>
  <c r="S25" i="1" s="1"/>
  <c r="J4" i="1" s="1"/>
  <c r="R25" i="1"/>
  <c r="I4" i="1" s="1"/>
  <c r="Q27" i="1"/>
  <c r="H5" i="1" s="1"/>
  <c r="P27" i="1"/>
  <c r="G5" i="1" s="1"/>
  <c r="R23" i="1"/>
  <c r="I3" i="1" s="1"/>
  <c r="Q25" i="1"/>
  <c r="H4" i="1" s="1"/>
  <c r="Q23" i="1"/>
  <c r="H3" i="1" s="1"/>
  <c r="P25" i="1"/>
  <c r="G4" i="1" s="1"/>
  <c r="O30" i="1"/>
  <c r="R27" i="1" s="1"/>
  <c r="I5" i="1" s="1"/>
  <c r="M25" i="1"/>
  <c r="M30" i="1" s="1"/>
  <c r="S27" i="1" s="1"/>
  <c r="J5" i="1" s="1"/>
  <c r="O13" i="1"/>
  <c r="L20" i="1"/>
  <c r="M13" i="1" s="1"/>
  <c r="W24" i="1" l="1"/>
  <c r="W25" i="1"/>
  <c r="W29" i="1"/>
  <c r="W28" i="1"/>
  <c r="W27" i="1"/>
  <c r="W26" i="1"/>
  <c r="W23" i="1"/>
  <c r="W30" i="1" s="1"/>
  <c r="Y23" i="1" s="1"/>
  <c r="P13" i="1"/>
  <c r="S33" i="1"/>
  <c r="S40" i="1" s="1"/>
  <c r="G6" i="1" a="1"/>
  <c r="R19" i="1"/>
  <c r="R16" i="1"/>
  <c r="R17" i="1"/>
  <c r="R18" i="1"/>
  <c r="R15" i="1"/>
  <c r="R14" i="1"/>
  <c r="R13" i="1"/>
  <c r="N13" i="1"/>
  <c r="P14" i="1"/>
  <c r="Q14" i="1" s="1"/>
  <c r="P15" i="1"/>
  <c r="Q15" i="1" s="1"/>
  <c r="P17" i="1"/>
  <c r="Q17" i="1" s="1"/>
  <c r="G6" i="1" l="1"/>
  <c r="J6" i="1" a="1"/>
  <c r="Q13" i="1"/>
  <c r="P18" i="1"/>
  <c r="Q18" i="1" s="1"/>
  <c r="P16" i="1"/>
  <c r="Q16" i="1" s="1"/>
  <c r="P19" i="1"/>
  <c r="Q19" i="1" s="1"/>
  <c r="R20" i="1"/>
  <c r="T13" i="1" s="1"/>
  <c r="P20" i="1"/>
  <c r="Q20" i="1"/>
  <c r="S13" i="1" s="1"/>
  <c r="U13" i="1" s="1"/>
  <c r="J6" i="1" l="1"/>
  <c r="P29" i="1" s="1"/>
  <c r="R29" i="1"/>
  <c r="Q29" i="1"/>
  <c r="U27" i="1" l="1"/>
  <c r="V27" i="1" s="1"/>
  <c r="U28" i="1"/>
  <c r="V28" i="1" s="1"/>
  <c r="U29" i="1"/>
  <c r="V29" i="1" s="1"/>
  <c r="U23" i="1"/>
  <c r="U24" i="1"/>
  <c r="V24" i="1" s="1"/>
  <c r="U26" i="1"/>
  <c r="V26" i="1" s="1"/>
  <c r="U25" i="1"/>
  <c r="V25" i="1" s="1"/>
  <c r="U30" i="1" l="1"/>
  <c r="V23" i="1"/>
  <c r="V30" i="1" s="1"/>
  <c r="X23" i="1" s="1"/>
  <c r="Z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<sst xmlns="http://schemas.openxmlformats.org/spreadsheetml/2006/main" count="64" uniqueCount="36">
  <si>
    <t>Вариант 1</t>
  </si>
  <si>
    <t>k</t>
  </si>
  <si>
    <t>b</t>
  </si>
  <si>
    <t>Сумма</t>
  </si>
  <si>
    <t>Yreg</t>
  </si>
  <si>
    <t>X</t>
  </si>
  <si>
    <t>Y1</t>
  </si>
  <si>
    <t>Y2</t>
  </si>
  <si>
    <t>Y3</t>
  </si>
  <si>
    <t>X^2</t>
  </si>
  <si>
    <t>XY</t>
  </si>
  <si>
    <t>Sad</t>
  </si>
  <si>
    <t>Yav</t>
  </si>
  <si>
    <t>Serr</t>
  </si>
  <si>
    <t>Fр</t>
  </si>
  <si>
    <t>Fkr</t>
  </si>
  <si>
    <t>Fр &lt; Fkr</t>
  </si>
  <si>
    <t>Модель адекватна</t>
  </si>
  <si>
    <t>Линейная зависимость</t>
  </si>
  <si>
    <t>Квадратичная зависимость</t>
  </si>
  <si>
    <t>y = 2,51x + 2,32</t>
  </si>
  <si>
    <t>YX^2</t>
  </si>
  <si>
    <t>X^3</t>
  </si>
  <si>
    <t>X^4</t>
  </si>
  <si>
    <t>a</t>
  </si>
  <si>
    <t>c</t>
  </si>
  <si>
    <t>y</t>
  </si>
  <si>
    <t>y = 4,09 + 2x - 0,33x^2</t>
  </si>
  <si>
    <t>(Y - Yreg)^2</t>
  </si>
  <si>
    <t>Гиперболическая зависимость</t>
  </si>
  <si>
    <t>Y/X</t>
  </si>
  <si>
    <t>1/X</t>
  </si>
  <si>
    <t>1/X^2</t>
  </si>
  <si>
    <t>D</t>
  </si>
  <si>
    <t>y = -0,21 + 3,88/x</t>
  </si>
  <si>
    <t>(Y - Yav)^2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</si>
</sst>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Лист1!$C$13:$C$19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Лист1!$D$13:$D$19</c:f>
              <c:numCache>
                <c:formatCode>General</c:formatCode>
                <c:ptCount val="7"/>
                <c:pt idx="0">
                  <c:v>4.8</c:v>
                </c:pt>
                <c:pt idx="1">
                  <c:v>7.3</c:v>
                </c:pt>
                <c:pt idx="2">
                  <c:v>10.1</c:v>
                </c:pt>
                <c:pt idx="3">
                  <c:v>12.4</c:v>
                </c:pt>
                <c:pt idx="4">
                  <c:v>14.9</c:v>
                </c:pt>
                <c:pt idx="5">
                  <c:v>17.2</c:v>
                </c:pt>
                <c:pt idx="6">
                  <c:v>20.100000000000001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4-4F55-81B5-4820B4B3B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952751"/>
        <c:axId val="1986953231"/>
      </c:scatterChart>
      <c:valAx>
        <c:axId val="198695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953231"/>
        <c:crosses val="autoZero"/>
        <c:crossBetween val="midCat"/>
      </c:valAx>
      <c:valAx>
        <c:axId val="198695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95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Лист1!$C$23:$C$29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Лист1!$D$23:$D$29</c:f>
              <c:numCache>
                <c:formatCode>General</c:formatCode>
                <c:ptCount val="7"/>
                <c:pt idx="0">
                  <c:v>5.7</c:v>
                </c:pt>
                <c:pt idx="1">
                  <c:v>6.8</c:v>
                </c:pt>
                <c:pt idx="2">
                  <c:v>7.1</c:v>
                </c:pt>
                <c:pt idx="3">
                  <c:v>6.9</c:v>
                </c:pt>
                <c:pt idx="4">
                  <c:v>5.7</c:v>
                </c:pt>
                <c:pt idx="5">
                  <c:v>3.9</c:v>
                </c:pt>
                <c:pt idx="6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5-40FC-BFE7-A5E5F5C4A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912911"/>
        <c:axId val="1986930191"/>
      </c:scatterChart>
      <c:valAx>
        <c:axId val="198691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930191"/>
        <c:crosses val="autoZero"/>
        <c:crossBetween val="midCat"/>
      </c:valAx>
      <c:valAx>
        <c:axId val="19869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91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Лист1!$C$33:$C$39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Лист1!$D$33:$D$39</c:f>
              <c:numCache>
                <c:formatCode>General</c:formatCode>
                <c:ptCount val="7"/>
                <c:pt idx="0">
                  <c:v>3.72</c:v>
                </c:pt>
                <c:pt idx="1">
                  <c:v>1.55</c:v>
                </c:pt>
                <c:pt idx="2">
                  <c:v>1.1200000000000001</c:v>
                </c:pt>
                <c:pt idx="3">
                  <c:v>0.85</c:v>
                </c:pt>
                <c:pt idx="4">
                  <c:v>0.61</c:v>
                </c:pt>
                <c:pt idx="5">
                  <c:v>0.44</c:v>
                </c:pt>
                <c:pt idx="6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2-422D-87A1-55D6599E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450096"/>
        <c:axId val="1637460656"/>
      </c:scatterChart>
      <c:valAx>
        <c:axId val="16374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460656"/>
        <c:crosses val="autoZero"/>
        <c:crossBetween val="midCat"/>
      </c:valAx>
      <c:valAx>
        <c:axId val="16374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45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75142</xdr:colOff>
      <xdr:row>12</xdr:row>
      <xdr:rowOff>23813</xdr:rowOff>
    </xdr:from>
    <xdr:to>
      <xdr:col>9</xdr:col>
      <xdr:colOff>646642</xdr:colOff>
      <xdr:row>19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5F8E64-0BD7-D4AC-9F08-CB4DE7115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63499</xdr:colOff>
      <xdr:row>22</xdr:row>
      <xdr:rowOff>57150</xdr:rowOff>
    </xdr:from>
    <xdr:to>
      <xdr:col>9</xdr:col>
      <xdr:colOff>634999</xdr:colOff>
      <xdr:row>29</xdr:row>
      <xdr:rowOff>179917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585CD65-EC7B-0D6A-7A03-907293C84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69396</xdr:colOff>
      <xdr:row>32</xdr:row>
      <xdr:rowOff>51706</xdr:rowOff>
    </xdr:from>
    <xdr:to>
      <xdr:col>9</xdr:col>
      <xdr:colOff>638175</xdr:colOff>
      <xdr:row>39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8A05A57-4C45-16BE-0CAB-0B4C818C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1"/>
  <sheetViews>
    <sheetView tabSelected="1" zoomScale="70" zoomScaleNormal="70" workbookViewId="0">
      <selection activeCell="AA40" sqref="AA40"/>
    </sheetView>
  </sheetViews>
  <sheetFormatPr defaultRowHeight="15" x14ac:dyDescent="0.25"/>
  <cols>
    <col min="1" max="10" width="10.7109375" customWidth="1"/>
    <col min="11" max="27" width="15.7109375" customWidth="1"/>
    <col min="28" max="30" width="10.7109375" customWidth="1"/>
  </cols>
  <sheetData>
    <row r="1" spans="1:22" s="1" customFormat="1" ht="20.100000000000001" customHeight="1" thickBo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22" s="1" customFormat="1" ht="20.100000000000001" customHeight="1" thickBot="1" x14ac:dyDescent="0.3">
      <c r="A2" s="2"/>
      <c r="B2" s="48" t="s">
        <v>0</v>
      </c>
      <c r="C2" s="49"/>
      <c r="D2" s="49"/>
      <c r="E2" s="50"/>
      <c r="G2" s="2"/>
      <c r="H2" s="2"/>
      <c r="I2" s="2"/>
    </row>
    <row r="3" spans="1:22" s="1" customFormat="1" ht="20.100000000000001" customHeight="1" thickBot="1" x14ac:dyDescent="0.3">
      <c r="A3" s="2"/>
      <c r="B3" s="16" t="s">
        <v>5</v>
      </c>
      <c r="C3" s="12" t="s">
        <v>6</v>
      </c>
      <c r="D3" s="5" t="s">
        <v>7</v>
      </c>
      <c r="E3" s="6" t="s">
        <v>8</v>
      </c>
      <c r="F3" s="2"/>
      <c r="G3" s="42">
        <f>P23</f>
        <v>7</v>
      </c>
      <c r="H3" s="42">
        <f t="shared" ref="H3" si="0">Q23</f>
        <v>28</v>
      </c>
      <c r="I3" s="42">
        <f>R23</f>
        <v>140</v>
      </c>
      <c r="J3" s="42">
        <f>S23</f>
        <v>38</v>
      </c>
    </row>
    <row r="4" spans="1:22" s="1" customFormat="1" ht="20.100000000000001" customHeight="1" x14ac:dyDescent="0.25">
      <c r="A4" s="2"/>
      <c r="B4" s="17">
        <v>1</v>
      </c>
      <c r="C4" s="13">
        <v>4.8</v>
      </c>
      <c r="D4" s="7">
        <v>5.7</v>
      </c>
      <c r="E4" s="8">
        <v>3.72</v>
      </c>
      <c r="F4" s="2"/>
      <c r="G4" s="42">
        <f>P25</f>
        <v>28</v>
      </c>
      <c r="H4" s="42">
        <f t="shared" ref="H4" si="1">Q25</f>
        <v>140</v>
      </c>
      <c r="I4" s="42">
        <f>R25</f>
        <v>784</v>
      </c>
      <c r="J4" s="42">
        <f>S25</f>
        <v>133.4</v>
      </c>
    </row>
    <row r="5" spans="1:22" s="1" customFormat="1" ht="20.100000000000001" customHeight="1" x14ac:dyDescent="0.25">
      <c r="A5" s="2"/>
      <c r="B5" s="18">
        <v>2</v>
      </c>
      <c r="C5" s="14">
        <v>7.3</v>
      </c>
      <c r="D5" s="3">
        <v>6.8</v>
      </c>
      <c r="E5" s="9">
        <v>1.55</v>
      </c>
      <c r="F5" s="2"/>
      <c r="G5" s="42">
        <f>P27</f>
        <v>140</v>
      </c>
      <c r="H5" s="42">
        <f t="shared" ref="H5" si="2">Q27</f>
        <v>784</v>
      </c>
      <c r="I5" s="42">
        <f>R27</f>
        <v>4676</v>
      </c>
      <c r="J5" s="42">
        <f>S27</f>
        <v>583.20000000000005</v>
      </c>
    </row>
    <row r="6" spans="1:22" s="1" customFormat="1" ht="20.100000000000001" customHeight="1" x14ac:dyDescent="0.25">
      <c r="A6" s="2"/>
      <c r="B6" s="18">
        <v>3</v>
      </c>
      <c r="C6" s="14">
        <v>10.1</v>
      </c>
      <c r="D6" s="3">
        <v>7.1</v>
      </c>
      <c r="E6" s="9">
        <v>1.1200000000000001</v>
      </c>
      <c r="F6" s="2"/>
      <c r="G6" s="42" cm="1">
        <f t="array" ref="G6:I8">MINVERSE(G3:I5)</f>
        <v>2.4285714285714302</v>
      </c>
      <c r="H6" s="42">
        <v>-1.2857142857142869</v>
      </c>
      <c r="I6" s="42">
        <v>0.1428571428571429</v>
      </c>
      <c r="J6" s="42" cm="1">
        <f t="array" ref="J6:J8">MMULT(_xlfn.ANCHORARRAY(G6),J3:J5)</f>
        <v>4.0857142857142179</v>
      </c>
    </row>
    <row r="7" spans="1:22" s="1" customFormat="1" ht="20.100000000000001" customHeight="1" x14ac:dyDescent="0.25">
      <c r="A7" s="2"/>
      <c r="B7" s="18">
        <v>4</v>
      </c>
      <c r="C7" s="14">
        <v>12.4</v>
      </c>
      <c r="D7" s="3">
        <v>6.9</v>
      </c>
      <c r="E7" s="9">
        <v>0.85</v>
      </c>
      <c r="F7" s="2"/>
      <c r="G7" s="42">
        <v>-1.2857142857142878</v>
      </c>
      <c r="H7" s="42">
        <v>0.79761904761904878</v>
      </c>
      <c r="I7" s="42">
        <v>-9.5238095238095344E-2</v>
      </c>
      <c r="J7" s="42">
        <v>2.0023809523809604</v>
      </c>
    </row>
    <row r="8" spans="1:22" s="1" customFormat="1" ht="20.100000000000001" customHeight="1" x14ac:dyDescent="0.25">
      <c r="A8" s="2"/>
      <c r="B8" s="18">
        <v>5</v>
      </c>
      <c r="C8" s="14">
        <v>14.9</v>
      </c>
      <c r="D8" s="3">
        <v>5.7</v>
      </c>
      <c r="E8" s="9">
        <v>0.61</v>
      </c>
      <c r="F8" s="2"/>
      <c r="G8" s="42">
        <v>0.14285714285714315</v>
      </c>
      <c r="H8" s="42">
        <v>-9.5238095238095399E-2</v>
      </c>
      <c r="I8" s="42">
        <v>1.190476190476192E-2</v>
      </c>
      <c r="J8" s="42">
        <v>-0.3333333333333357</v>
      </c>
    </row>
    <row r="9" spans="1:22" s="1" customFormat="1" ht="20.100000000000001" customHeight="1" x14ac:dyDescent="0.25">
      <c r="A9" s="2"/>
      <c r="B9" s="18">
        <v>6</v>
      </c>
      <c r="C9" s="14">
        <v>17.2</v>
      </c>
      <c r="D9" s="3">
        <v>3.9</v>
      </c>
      <c r="E9" s="9">
        <v>0.44</v>
      </c>
      <c r="F9" s="2"/>
      <c r="H9" s="2"/>
      <c r="I9" s="2"/>
    </row>
    <row r="10" spans="1:22" s="1" customFormat="1" ht="20.100000000000001" customHeight="1" thickBot="1" x14ac:dyDescent="0.3">
      <c r="A10" s="2"/>
      <c r="B10" s="19">
        <v>7</v>
      </c>
      <c r="C10" s="15">
        <v>20.100000000000001</v>
      </c>
      <c r="D10" s="10">
        <v>1.9</v>
      </c>
      <c r="E10" s="11">
        <v>0.28000000000000003</v>
      </c>
      <c r="F10" s="2"/>
      <c r="H10" s="2"/>
      <c r="I10" s="2"/>
    </row>
    <row r="11" spans="1:22" s="1" customFormat="1" ht="20.100000000000001" customHeight="1" thickBot="1" x14ac:dyDescent="0.3">
      <c r="A11" s="2"/>
      <c r="B11" s="2"/>
      <c r="C11" s="2"/>
      <c r="D11" s="2"/>
      <c r="E11" s="2"/>
      <c r="F11" s="2"/>
      <c r="H11" s="2"/>
      <c r="I11" s="2"/>
    </row>
    <row r="12" spans="1:22" s="1" customFormat="1" ht="20.100000000000001" customHeight="1" thickBot="1" x14ac:dyDescent="0.3">
      <c r="A12" s="2"/>
      <c r="B12" s="22"/>
      <c r="C12" s="12" t="str">
        <f t="shared" ref="C12:D19" si="3">B3</f>
        <v>X</v>
      </c>
      <c r="D12" s="6" t="str">
        <f t="shared" si="3"/>
        <v>Y1</v>
      </c>
      <c r="E12" s="60" t="s">
        <v>18</v>
      </c>
      <c r="F12" s="61"/>
      <c r="G12" s="61"/>
      <c r="H12" s="61"/>
      <c r="I12" s="61"/>
      <c r="J12" s="62"/>
      <c r="K12" s="4" t="s">
        <v>9</v>
      </c>
      <c r="L12" s="6" t="s">
        <v>10</v>
      </c>
      <c r="M12" s="4" t="s">
        <v>1</v>
      </c>
      <c r="N12" s="6" t="s">
        <v>2</v>
      </c>
      <c r="O12" s="21" t="s">
        <v>12</v>
      </c>
      <c r="P12" s="4" t="s">
        <v>4</v>
      </c>
      <c r="Q12" s="5" t="s">
        <v>28</v>
      </c>
      <c r="R12" s="39" t="s">
        <v>35</v>
      </c>
      <c r="S12" s="4" t="s">
        <v>11</v>
      </c>
      <c r="T12" s="6" t="s">
        <v>13</v>
      </c>
      <c r="U12" s="12" t="s">
        <v>14</v>
      </c>
      <c r="V12" s="6" t="s">
        <v>15</v>
      </c>
    </row>
    <row r="13" spans="1:22" s="1" customFormat="1" ht="20.100000000000001" customHeight="1" x14ac:dyDescent="0.25">
      <c r="A13" s="2"/>
      <c r="B13" s="51"/>
      <c r="C13" s="27">
        <f t="shared" si="3"/>
        <v>1</v>
      </c>
      <c r="D13" s="24">
        <f t="shared" si="3"/>
        <v>4.8</v>
      </c>
      <c r="E13" s="54"/>
      <c r="F13" s="55"/>
      <c r="G13" s="55"/>
      <c r="H13" s="55"/>
      <c r="I13" s="55"/>
      <c r="J13" s="56"/>
      <c r="K13" s="36">
        <f>C13*C13</f>
        <v>1</v>
      </c>
      <c r="L13" s="31">
        <f>C13*D13</f>
        <v>4.8</v>
      </c>
      <c r="M13" s="63">
        <f>(7*L20-C20*D20)/(7*K20-C20*C20)</f>
        <v>2.5178571428571428</v>
      </c>
      <c r="N13" s="65">
        <f>(D20-M13*C20)/7</f>
        <v>2.3285714285714301</v>
      </c>
      <c r="O13" s="89">
        <f>D20/7</f>
        <v>12.400000000000002</v>
      </c>
      <c r="P13" s="36">
        <f>$M$13*C13+$N$13</f>
        <v>4.8464285714285733</v>
      </c>
      <c r="Q13" s="30">
        <f t="shared" ref="Q13:Q19" si="4">POWER(D13-P13, 2)</f>
        <v>2.1556122448981503E-3</v>
      </c>
      <c r="R13" s="35">
        <f>POWER(D13-$O$13,2)</f>
        <v>57.760000000000034</v>
      </c>
      <c r="S13" s="91">
        <f>Q20/5</f>
        <v>2.6214285714285756E-2</v>
      </c>
      <c r="T13" s="67">
        <f>R20/5</f>
        <v>35.528000000000006</v>
      </c>
      <c r="U13" s="69">
        <f>S13/T13</f>
        <v>7.3784861839354171E-4</v>
      </c>
      <c r="V13" s="67">
        <v>3.97</v>
      </c>
    </row>
    <row r="14" spans="1:22" s="1" customFormat="1" ht="20.100000000000001" customHeight="1" thickBot="1" x14ac:dyDescent="0.3">
      <c r="A14" s="2"/>
      <c r="B14" s="52"/>
      <c r="C14" s="14">
        <f t="shared" si="3"/>
        <v>2</v>
      </c>
      <c r="D14" s="9">
        <f t="shared" si="3"/>
        <v>7.3</v>
      </c>
      <c r="E14" s="54"/>
      <c r="F14" s="55"/>
      <c r="G14" s="55"/>
      <c r="H14" s="55"/>
      <c r="I14" s="55"/>
      <c r="J14" s="56"/>
      <c r="K14" s="37">
        <f t="shared" ref="K14:K19" si="5">C14*C14</f>
        <v>4</v>
      </c>
      <c r="L14" s="23">
        <f t="shared" ref="L14:L19" si="6">C14*D14</f>
        <v>14.6</v>
      </c>
      <c r="M14" s="64"/>
      <c r="N14" s="66"/>
      <c r="O14" s="90"/>
      <c r="P14" s="37">
        <f t="shared" ref="P14:P19" si="7">$M$13*C14+$N$13</f>
        <v>7.3642857142857157</v>
      </c>
      <c r="Q14" s="20">
        <f t="shared" si="4"/>
        <v>4.1326530612246885E-3</v>
      </c>
      <c r="R14" s="35">
        <f t="shared" ref="R14:R19" si="8">POWER(D14-$O$13,2)</f>
        <v>26.010000000000023</v>
      </c>
      <c r="S14" s="92"/>
      <c r="T14" s="68"/>
      <c r="U14" s="70"/>
      <c r="V14" s="71"/>
    </row>
    <row r="15" spans="1:22" s="1" customFormat="1" ht="20.100000000000001" customHeight="1" x14ac:dyDescent="0.25">
      <c r="A15" s="2"/>
      <c r="B15" s="52"/>
      <c r="C15" s="14">
        <f t="shared" si="3"/>
        <v>3</v>
      </c>
      <c r="D15" s="9">
        <f t="shared" si="3"/>
        <v>10.1</v>
      </c>
      <c r="E15" s="54"/>
      <c r="F15" s="55"/>
      <c r="G15" s="55"/>
      <c r="H15" s="55"/>
      <c r="I15" s="55"/>
      <c r="J15" s="56"/>
      <c r="K15" s="37">
        <f t="shared" si="5"/>
        <v>9</v>
      </c>
      <c r="L15" s="23">
        <f t="shared" si="6"/>
        <v>30.299999999999997</v>
      </c>
      <c r="M15" s="64"/>
      <c r="N15" s="66"/>
      <c r="O15" s="90"/>
      <c r="P15" s="37">
        <f t="shared" si="7"/>
        <v>9.8821428571428598</v>
      </c>
      <c r="Q15" s="20">
        <f t="shared" si="4"/>
        <v>4.7461734693876247E-2</v>
      </c>
      <c r="R15" s="35">
        <f t="shared" si="8"/>
        <v>5.2900000000000116</v>
      </c>
      <c r="S15" s="72" t="s">
        <v>16</v>
      </c>
      <c r="T15" s="73"/>
      <c r="U15" s="73"/>
      <c r="V15" s="74"/>
    </row>
    <row r="16" spans="1:22" s="1" customFormat="1" ht="20.100000000000001" customHeight="1" x14ac:dyDescent="0.25">
      <c r="A16" s="2"/>
      <c r="B16" s="52"/>
      <c r="C16" s="14">
        <f t="shared" si="3"/>
        <v>4</v>
      </c>
      <c r="D16" s="9">
        <f t="shared" si="3"/>
        <v>12.4</v>
      </c>
      <c r="E16" s="54"/>
      <c r="F16" s="55"/>
      <c r="G16" s="55"/>
      <c r="H16" s="55"/>
      <c r="I16" s="55"/>
      <c r="J16" s="56"/>
      <c r="K16" s="37">
        <f t="shared" si="5"/>
        <v>16</v>
      </c>
      <c r="L16" s="23">
        <f t="shared" si="6"/>
        <v>49.6</v>
      </c>
      <c r="M16" s="64"/>
      <c r="N16" s="66"/>
      <c r="O16" s="90"/>
      <c r="P16" s="37">
        <f t="shared" si="7"/>
        <v>12.400000000000002</v>
      </c>
      <c r="Q16" s="20">
        <f t="shared" si="4"/>
        <v>3.1554436208840472E-30</v>
      </c>
      <c r="R16" s="35">
        <f t="shared" si="8"/>
        <v>3.1554436208840472E-30</v>
      </c>
      <c r="S16" s="75"/>
      <c r="T16" s="76"/>
      <c r="U16" s="76"/>
      <c r="V16" s="77"/>
    </row>
    <row r="17" spans="1:27" s="1" customFormat="1" ht="20.100000000000001" customHeight="1" x14ac:dyDescent="0.25">
      <c r="A17" s="2"/>
      <c r="B17" s="52"/>
      <c r="C17" s="14">
        <f t="shared" si="3"/>
        <v>5</v>
      </c>
      <c r="D17" s="9">
        <f t="shared" si="3"/>
        <v>14.9</v>
      </c>
      <c r="E17" s="54"/>
      <c r="F17" s="55"/>
      <c r="G17" s="55"/>
      <c r="H17" s="55"/>
      <c r="I17" s="55"/>
      <c r="J17" s="56"/>
      <c r="K17" s="37">
        <f t="shared" si="5"/>
        <v>25</v>
      </c>
      <c r="L17" s="23">
        <f t="shared" si="6"/>
        <v>74.5</v>
      </c>
      <c r="M17" s="64"/>
      <c r="N17" s="66"/>
      <c r="O17" s="90"/>
      <c r="P17" s="37">
        <f t="shared" si="7"/>
        <v>14.917857142857144</v>
      </c>
      <c r="Q17" s="20">
        <f t="shared" si="4"/>
        <v>3.1887755102045346E-4</v>
      </c>
      <c r="R17" s="35">
        <f t="shared" si="8"/>
        <v>6.2499999999999911</v>
      </c>
      <c r="S17" s="75"/>
      <c r="T17" s="76"/>
      <c r="U17" s="76"/>
      <c r="V17" s="77"/>
    </row>
    <row r="18" spans="1:27" s="1" customFormat="1" ht="20.100000000000001" customHeight="1" x14ac:dyDescent="0.25">
      <c r="B18" s="52"/>
      <c r="C18" s="14">
        <f t="shared" si="3"/>
        <v>6</v>
      </c>
      <c r="D18" s="9">
        <f t="shared" si="3"/>
        <v>17.2</v>
      </c>
      <c r="E18" s="54"/>
      <c r="F18" s="55"/>
      <c r="G18" s="55"/>
      <c r="H18" s="55"/>
      <c r="I18" s="55"/>
      <c r="J18" s="56"/>
      <c r="K18" s="37">
        <f t="shared" si="5"/>
        <v>36</v>
      </c>
      <c r="L18" s="23">
        <f t="shared" si="6"/>
        <v>103.19999999999999</v>
      </c>
      <c r="M18" s="64"/>
      <c r="N18" s="66"/>
      <c r="O18" s="90"/>
      <c r="P18" s="37">
        <f t="shared" si="7"/>
        <v>17.435714285714287</v>
      </c>
      <c r="Q18" s="20">
        <f t="shared" si="4"/>
        <v>5.5561224489796779E-2</v>
      </c>
      <c r="R18" s="35">
        <f t="shared" si="8"/>
        <v>23.039999999999974</v>
      </c>
      <c r="S18" s="75" t="s">
        <v>17</v>
      </c>
      <c r="T18" s="76"/>
      <c r="U18" s="76"/>
      <c r="V18" s="77"/>
    </row>
    <row r="19" spans="1:27" s="1" customFormat="1" ht="20.100000000000001" customHeight="1" thickBot="1" x14ac:dyDescent="0.3">
      <c r="B19" s="53"/>
      <c r="C19" s="28">
        <f t="shared" si="3"/>
        <v>7</v>
      </c>
      <c r="D19" s="26">
        <f t="shared" si="3"/>
        <v>20.100000000000001</v>
      </c>
      <c r="E19" s="54"/>
      <c r="F19" s="55"/>
      <c r="G19" s="55"/>
      <c r="H19" s="55"/>
      <c r="I19" s="55"/>
      <c r="J19" s="56"/>
      <c r="K19" s="38">
        <f t="shared" si="5"/>
        <v>49</v>
      </c>
      <c r="L19" s="34">
        <f t="shared" si="6"/>
        <v>140.70000000000002</v>
      </c>
      <c r="M19" s="64"/>
      <c r="N19" s="66"/>
      <c r="O19" s="90"/>
      <c r="P19" s="38">
        <f t="shared" si="7"/>
        <v>19.953571428571429</v>
      </c>
      <c r="Q19" s="33">
        <f t="shared" si="4"/>
        <v>2.1441326530612481E-2</v>
      </c>
      <c r="R19" s="35">
        <f t="shared" si="8"/>
        <v>59.289999999999992</v>
      </c>
      <c r="S19" s="75"/>
      <c r="T19" s="76"/>
      <c r="U19" s="76"/>
      <c r="V19" s="77"/>
    </row>
    <row r="20" spans="1:27" s="1" customFormat="1" ht="20.100000000000001" customHeight="1" thickBot="1" x14ac:dyDescent="0.3">
      <c r="B20" s="16" t="s">
        <v>3</v>
      </c>
      <c r="C20" s="12">
        <f>SUM(C13:C19)</f>
        <v>28</v>
      </c>
      <c r="D20" s="6">
        <f>SUM(D13:D19)</f>
        <v>86.800000000000011</v>
      </c>
      <c r="E20" s="57"/>
      <c r="F20" s="58"/>
      <c r="G20" s="58"/>
      <c r="H20" s="58"/>
      <c r="I20" s="58"/>
      <c r="J20" s="59"/>
      <c r="K20" s="4">
        <f>SUM(K13:K19)</f>
        <v>140</v>
      </c>
      <c r="L20" s="6">
        <f>SUM(L13:L19)</f>
        <v>417.70000000000005</v>
      </c>
      <c r="M20" s="60" t="s">
        <v>20</v>
      </c>
      <c r="N20" s="62"/>
      <c r="O20" s="46"/>
      <c r="P20" s="4">
        <f>SUM(P13:P19)</f>
        <v>86.800000000000011</v>
      </c>
      <c r="Q20" s="5">
        <f>SUM(Q13:Q19)</f>
        <v>0.13107142857142878</v>
      </c>
      <c r="R20" s="39">
        <f>SUM(R13:R19)</f>
        <v>177.64000000000001</v>
      </c>
      <c r="S20" s="78"/>
      <c r="T20" s="79"/>
      <c r="U20" s="79"/>
      <c r="V20" s="80"/>
    </row>
    <row r="21" spans="1:27" s="1" customFormat="1" ht="20.100000000000001" customHeight="1" thickBot="1" x14ac:dyDescent="0.3"/>
    <row r="22" spans="1:27" s="1" customFormat="1" ht="20.100000000000001" customHeight="1" thickBot="1" x14ac:dyDescent="0.3">
      <c r="B22" s="22"/>
      <c r="C22" s="12" t="str">
        <f>B3</f>
        <v>X</v>
      </c>
      <c r="D22" s="6" t="str">
        <f>D3</f>
        <v>Y2</v>
      </c>
      <c r="E22" s="60" t="s">
        <v>19</v>
      </c>
      <c r="F22" s="81"/>
      <c r="G22" s="81"/>
      <c r="H22" s="81"/>
      <c r="I22" s="81"/>
      <c r="J22" s="81"/>
      <c r="K22" s="4" t="s">
        <v>10</v>
      </c>
      <c r="L22" s="5" t="s">
        <v>9</v>
      </c>
      <c r="M22" s="5" t="s">
        <v>21</v>
      </c>
      <c r="N22" s="5" t="s">
        <v>22</v>
      </c>
      <c r="O22" s="39" t="s">
        <v>23</v>
      </c>
      <c r="P22" s="4" t="s">
        <v>24</v>
      </c>
      <c r="Q22" s="5" t="s">
        <v>2</v>
      </c>
      <c r="R22" s="39" t="s">
        <v>25</v>
      </c>
      <c r="S22" s="16" t="s">
        <v>26</v>
      </c>
      <c r="T22" s="21" t="s">
        <v>12</v>
      </c>
      <c r="U22" s="4" t="s">
        <v>4</v>
      </c>
      <c r="V22" s="5" t="s">
        <v>28</v>
      </c>
      <c r="W22" s="6" t="s">
        <v>35</v>
      </c>
      <c r="X22" s="4" t="s">
        <v>11</v>
      </c>
      <c r="Y22" s="6" t="s">
        <v>13</v>
      </c>
      <c r="Z22" s="4" t="s">
        <v>14</v>
      </c>
      <c r="AA22" s="6" t="s">
        <v>15</v>
      </c>
    </row>
    <row r="23" spans="1:27" s="1" customFormat="1" ht="20.100000000000001" customHeight="1" x14ac:dyDescent="0.25">
      <c r="B23" s="82"/>
      <c r="C23" s="29">
        <f t="shared" ref="C23:C29" si="9">B4</f>
        <v>1</v>
      </c>
      <c r="D23" s="31">
        <f t="shared" ref="D23:D29" si="10">D4</f>
        <v>5.7</v>
      </c>
      <c r="E23" s="83"/>
      <c r="F23" s="84"/>
      <c r="G23" s="84"/>
      <c r="H23" s="84"/>
      <c r="I23" s="84"/>
      <c r="J23" s="84"/>
      <c r="K23" s="36">
        <f>C23*D23</f>
        <v>5.7</v>
      </c>
      <c r="L23" s="30">
        <f>C23*C23</f>
        <v>1</v>
      </c>
      <c r="M23" s="30">
        <f>D23*L23</f>
        <v>5.7</v>
      </c>
      <c r="N23" s="30">
        <f>POWER(C23,3)</f>
        <v>1</v>
      </c>
      <c r="O23" s="35">
        <f>POWER(C23,4)</f>
        <v>1</v>
      </c>
      <c r="P23" s="103">
        <v>7</v>
      </c>
      <c r="Q23" s="99">
        <f>C30</f>
        <v>28</v>
      </c>
      <c r="R23" s="100">
        <f>L30</f>
        <v>140</v>
      </c>
      <c r="S23" s="104">
        <f>D30</f>
        <v>38</v>
      </c>
      <c r="T23" s="90">
        <f>D30/7</f>
        <v>5.4285714285714288</v>
      </c>
      <c r="U23" s="36">
        <f t="shared" ref="U23:U29" si="11">$P$29+$Q$29*C23+$R$29*C23*C23</f>
        <v>5.7547619047618426</v>
      </c>
      <c r="V23" s="30">
        <f>POWER(D23-U23, 2)</f>
        <v>2.9988662131450968E-3</v>
      </c>
      <c r="W23" s="31">
        <f>POWER(D23-$T$23, 2)</f>
        <v>7.3673469387755056E-2</v>
      </c>
      <c r="X23" s="64">
        <f>V30/5</f>
        <v>1.7047619047619054E-2</v>
      </c>
      <c r="Y23" s="66">
        <f>W30/5</f>
        <v>4.3548571428571439</v>
      </c>
      <c r="Z23" s="64">
        <f>X23/Y23</f>
        <v>3.9146218781437262E-3</v>
      </c>
      <c r="AA23" s="66">
        <v>3.97</v>
      </c>
    </row>
    <row r="24" spans="1:27" s="1" customFormat="1" ht="20.100000000000001" customHeight="1" thickBot="1" x14ac:dyDescent="0.3">
      <c r="B24" s="82"/>
      <c r="C24" s="25">
        <f t="shared" si="9"/>
        <v>2</v>
      </c>
      <c r="D24" s="23">
        <f t="shared" si="10"/>
        <v>6.8</v>
      </c>
      <c r="E24" s="85"/>
      <c r="F24" s="86"/>
      <c r="G24" s="86"/>
      <c r="H24" s="86"/>
      <c r="I24" s="86"/>
      <c r="J24" s="86"/>
      <c r="K24" s="37">
        <f t="shared" ref="K24:K29" si="12">C24*D24</f>
        <v>13.6</v>
      </c>
      <c r="L24" s="20">
        <f t="shared" ref="L24:L29" si="13">C24*C24</f>
        <v>4</v>
      </c>
      <c r="M24" s="20">
        <f t="shared" ref="M24:M29" si="14">D24*L24</f>
        <v>27.2</v>
      </c>
      <c r="N24" s="20">
        <f t="shared" ref="N24:N29" si="15">POWER(C24,3)</f>
        <v>8</v>
      </c>
      <c r="O24" s="40">
        <f t="shared" ref="O24:O29" si="16">POWER(C24,4)</f>
        <v>16</v>
      </c>
      <c r="P24" s="93"/>
      <c r="Q24" s="94"/>
      <c r="R24" s="95"/>
      <c r="S24" s="44"/>
      <c r="T24" s="90"/>
      <c r="U24" s="37">
        <f t="shared" si="11"/>
        <v>6.7571428571427958</v>
      </c>
      <c r="V24" s="20">
        <f t="shared" ref="V24:V29" si="17">POWER(D24-U24, 2)</f>
        <v>1.8367346938827909E-3</v>
      </c>
      <c r="W24" s="23">
        <f t="shared" ref="W24:W29" si="18">POWER(D24-$T$23, 2)</f>
        <v>1.880816326530611</v>
      </c>
      <c r="X24" s="101"/>
      <c r="Y24" s="102"/>
      <c r="Z24" s="101"/>
      <c r="AA24" s="102"/>
    </row>
    <row r="25" spans="1:27" s="1" customFormat="1" ht="20.100000000000001" customHeight="1" x14ac:dyDescent="0.25">
      <c r="B25" s="82"/>
      <c r="C25" s="25">
        <f t="shared" si="9"/>
        <v>3</v>
      </c>
      <c r="D25" s="23">
        <f t="shared" si="10"/>
        <v>7.1</v>
      </c>
      <c r="E25" s="85"/>
      <c r="F25" s="86"/>
      <c r="G25" s="86"/>
      <c r="H25" s="86"/>
      <c r="I25" s="86"/>
      <c r="J25" s="86"/>
      <c r="K25" s="37">
        <f t="shared" si="12"/>
        <v>21.299999999999997</v>
      </c>
      <c r="L25" s="20">
        <f t="shared" si="13"/>
        <v>9</v>
      </c>
      <c r="M25" s="20">
        <f t="shared" si="14"/>
        <v>63.9</v>
      </c>
      <c r="N25" s="20">
        <f t="shared" si="15"/>
        <v>27</v>
      </c>
      <c r="O25" s="40">
        <f t="shared" si="16"/>
        <v>81</v>
      </c>
      <c r="P25" s="93">
        <f>C30</f>
        <v>28</v>
      </c>
      <c r="Q25" s="94">
        <f>L30</f>
        <v>140</v>
      </c>
      <c r="R25" s="95">
        <f>N30</f>
        <v>784</v>
      </c>
      <c r="S25" s="44">
        <f>K30</f>
        <v>133.4</v>
      </c>
      <c r="T25" s="90"/>
      <c r="U25" s="37">
        <f t="shared" si="11"/>
        <v>7.0928571428570777</v>
      </c>
      <c r="V25" s="20">
        <f t="shared" si="17"/>
        <v>5.102040816419119E-5</v>
      </c>
      <c r="W25" s="23">
        <f t="shared" si="18"/>
        <v>2.7936734693877532</v>
      </c>
      <c r="X25" s="72" t="s">
        <v>16</v>
      </c>
      <c r="Y25" s="73"/>
      <c r="Z25" s="73"/>
      <c r="AA25" s="74"/>
    </row>
    <row r="26" spans="1:27" s="1" customFormat="1" ht="20.100000000000001" customHeight="1" x14ac:dyDescent="0.25">
      <c r="B26" s="82"/>
      <c r="C26" s="25">
        <f t="shared" si="9"/>
        <v>4</v>
      </c>
      <c r="D26" s="23">
        <f t="shared" si="10"/>
        <v>6.9</v>
      </c>
      <c r="E26" s="85"/>
      <c r="F26" s="86"/>
      <c r="G26" s="86"/>
      <c r="H26" s="86"/>
      <c r="I26" s="86"/>
      <c r="J26" s="86"/>
      <c r="K26" s="37">
        <f>C26*D26</f>
        <v>27.6</v>
      </c>
      <c r="L26" s="20">
        <f t="shared" si="13"/>
        <v>16</v>
      </c>
      <c r="M26" s="20">
        <f t="shared" si="14"/>
        <v>110.4</v>
      </c>
      <c r="N26" s="20">
        <f t="shared" si="15"/>
        <v>64</v>
      </c>
      <c r="O26" s="40">
        <f t="shared" si="16"/>
        <v>256</v>
      </c>
      <c r="P26" s="93"/>
      <c r="Q26" s="94"/>
      <c r="R26" s="95"/>
      <c r="S26" s="44"/>
      <c r="T26" s="90"/>
      <c r="U26" s="37">
        <f t="shared" si="11"/>
        <v>6.7619047619046881</v>
      </c>
      <c r="V26" s="20">
        <f t="shared" si="17"/>
        <v>1.9070294784600969E-2</v>
      </c>
      <c r="W26" s="23">
        <f t="shared" si="18"/>
        <v>2.1651020408163268</v>
      </c>
      <c r="X26" s="75"/>
      <c r="Y26" s="76"/>
      <c r="Z26" s="76"/>
      <c r="AA26" s="77"/>
    </row>
    <row r="27" spans="1:27" s="1" customFormat="1" ht="20.100000000000001" customHeight="1" x14ac:dyDescent="0.25">
      <c r="B27" s="82"/>
      <c r="C27" s="25">
        <f t="shared" si="9"/>
        <v>5</v>
      </c>
      <c r="D27" s="23">
        <f t="shared" si="10"/>
        <v>5.7</v>
      </c>
      <c r="E27" s="85"/>
      <c r="F27" s="86"/>
      <c r="G27" s="86"/>
      <c r="H27" s="86"/>
      <c r="I27" s="86"/>
      <c r="J27" s="86"/>
      <c r="K27" s="37">
        <f t="shared" si="12"/>
        <v>28.5</v>
      </c>
      <c r="L27" s="20">
        <f>C27*C27</f>
        <v>25</v>
      </c>
      <c r="M27" s="20">
        <f t="shared" si="14"/>
        <v>142.5</v>
      </c>
      <c r="N27" s="20">
        <f t="shared" si="15"/>
        <v>125</v>
      </c>
      <c r="O27" s="40">
        <f t="shared" si="16"/>
        <v>625</v>
      </c>
      <c r="P27" s="93">
        <f>L30</f>
        <v>140</v>
      </c>
      <c r="Q27" s="94">
        <f>N30</f>
        <v>784</v>
      </c>
      <c r="R27" s="95">
        <f>O30</f>
        <v>4676</v>
      </c>
      <c r="S27" s="44">
        <f>M30</f>
        <v>583.20000000000005</v>
      </c>
      <c r="T27" s="90"/>
      <c r="U27" s="37">
        <f t="shared" si="11"/>
        <v>5.7642857142856272</v>
      </c>
      <c r="V27" s="20">
        <f t="shared" si="17"/>
        <v>4.1326530612132697E-3</v>
      </c>
      <c r="W27" s="23">
        <f t="shared" si="18"/>
        <v>7.3673469387755056E-2</v>
      </c>
      <c r="X27" s="75"/>
      <c r="Y27" s="76"/>
      <c r="Z27" s="76"/>
      <c r="AA27" s="77"/>
    </row>
    <row r="28" spans="1:27" s="1" customFormat="1" ht="20.100000000000001" customHeight="1" thickBot="1" x14ac:dyDescent="0.3">
      <c r="B28" s="82"/>
      <c r="C28" s="25">
        <f t="shared" si="9"/>
        <v>6</v>
      </c>
      <c r="D28" s="23">
        <f t="shared" si="10"/>
        <v>3.9</v>
      </c>
      <c r="E28" s="85"/>
      <c r="F28" s="86"/>
      <c r="G28" s="86"/>
      <c r="H28" s="86"/>
      <c r="I28" s="86"/>
      <c r="J28" s="86"/>
      <c r="K28" s="37">
        <f t="shared" si="12"/>
        <v>23.4</v>
      </c>
      <c r="L28" s="20">
        <f t="shared" si="13"/>
        <v>36</v>
      </c>
      <c r="M28" s="20">
        <f t="shared" si="14"/>
        <v>140.4</v>
      </c>
      <c r="N28" s="20">
        <f t="shared" si="15"/>
        <v>216</v>
      </c>
      <c r="O28" s="40">
        <f t="shared" si="16"/>
        <v>1296</v>
      </c>
      <c r="P28" s="96"/>
      <c r="Q28" s="97"/>
      <c r="R28" s="98"/>
      <c r="S28" s="45"/>
      <c r="T28" s="90"/>
      <c r="U28" s="37">
        <f t="shared" si="11"/>
        <v>4.0999999999998948</v>
      </c>
      <c r="V28" s="20">
        <f t="shared" si="17"/>
        <v>3.9999999999957972E-2</v>
      </c>
      <c r="W28" s="23">
        <f t="shared" si="18"/>
        <v>2.336530612244899</v>
      </c>
      <c r="X28" s="75" t="s">
        <v>17</v>
      </c>
      <c r="Y28" s="76"/>
      <c r="Z28" s="76"/>
      <c r="AA28" s="77"/>
    </row>
    <row r="29" spans="1:27" s="1" customFormat="1" ht="20.100000000000001" customHeight="1" thickBot="1" x14ac:dyDescent="0.3">
      <c r="B29" s="82"/>
      <c r="C29" s="32">
        <f t="shared" si="9"/>
        <v>7</v>
      </c>
      <c r="D29" s="34">
        <f t="shared" si="10"/>
        <v>1.9</v>
      </c>
      <c r="E29" s="85"/>
      <c r="F29" s="86"/>
      <c r="G29" s="86"/>
      <c r="H29" s="86"/>
      <c r="I29" s="86"/>
      <c r="J29" s="86"/>
      <c r="K29" s="38">
        <f t="shared" si="12"/>
        <v>13.299999999999999</v>
      </c>
      <c r="L29" s="33">
        <f t="shared" si="13"/>
        <v>49</v>
      </c>
      <c r="M29" s="33">
        <f t="shared" si="14"/>
        <v>93.1</v>
      </c>
      <c r="N29" s="33">
        <f t="shared" si="15"/>
        <v>343</v>
      </c>
      <c r="O29" s="41">
        <f t="shared" si="16"/>
        <v>2401</v>
      </c>
      <c r="P29" s="4">
        <f>J6</f>
        <v>4.0857142857142179</v>
      </c>
      <c r="Q29" s="5">
        <f>J7</f>
        <v>2.0023809523809604</v>
      </c>
      <c r="R29" s="39">
        <f>J8</f>
        <v>-0.3333333333333357</v>
      </c>
      <c r="S29" s="43"/>
      <c r="T29" s="90"/>
      <c r="U29" s="38">
        <f t="shared" si="11"/>
        <v>1.7690476190474911</v>
      </c>
      <c r="V29" s="33">
        <f t="shared" si="17"/>
        <v>1.7148526077130997E-2</v>
      </c>
      <c r="W29" s="34">
        <f t="shared" si="18"/>
        <v>12.450816326530616</v>
      </c>
      <c r="X29" s="75"/>
      <c r="Y29" s="76"/>
      <c r="Z29" s="76"/>
      <c r="AA29" s="77"/>
    </row>
    <row r="30" spans="1:27" s="1" customFormat="1" ht="20.100000000000001" customHeight="1" thickBot="1" x14ac:dyDescent="0.3">
      <c r="B30" s="16" t="s">
        <v>3</v>
      </c>
      <c r="C30" s="12">
        <f>SUM(C23:C29)</f>
        <v>28</v>
      </c>
      <c r="D30" s="6">
        <f>SUM(D23:D29)</f>
        <v>38</v>
      </c>
      <c r="E30" s="87"/>
      <c r="F30" s="88"/>
      <c r="G30" s="88"/>
      <c r="H30" s="88"/>
      <c r="I30" s="88"/>
      <c r="J30" s="88"/>
      <c r="K30" s="4">
        <f>SUM(K23:K29)</f>
        <v>133.4</v>
      </c>
      <c r="L30" s="5">
        <f t="shared" ref="L30:O30" si="19">SUM(L23:L29)</f>
        <v>140</v>
      </c>
      <c r="M30" s="5">
        <f t="shared" si="19"/>
        <v>583.20000000000005</v>
      </c>
      <c r="N30" s="5">
        <f t="shared" si="19"/>
        <v>784</v>
      </c>
      <c r="O30" s="39">
        <f t="shared" si="19"/>
        <v>4676</v>
      </c>
      <c r="P30" s="46" t="s">
        <v>27</v>
      </c>
      <c r="Q30" s="47"/>
      <c r="R30" s="47"/>
      <c r="S30" s="47"/>
      <c r="T30" s="46"/>
      <c r="U30" s="4">
        <f>SUM(U23:U29)</f>
        <v>37.999999999999417</v>
      </c>
      <c r="V30" s="5">
        <f>SUM(V23:V29)</f>
        <v>8.5238095238095279E-2</v>
      </c>
      <c r="W30" s="6">
        <f>SUM(W23:W29)</f>
        <v>21.774285714285718</v>
      </c>
      <c r="X30" s="78"/>
      <c r="Y30" s="79"/>
      <c r="Z30" s="79"/>
      <c r="AA30" s="80"/>
    </row>
    <row r="31" spans="1:27" s="1" customFormat="1" ht="20.100000000000001" customHeight="1" thickBot="1" x14ac:dyDescent="0.3"/>
    <row r="32" spans="1:27" s="1" customFormat="1" ht="20.100000000000001" customHeight="1" thickBot="1" x14ac:dyDescent="0.3">
      <c r="B32" s="22"/>
      <c r="C32" s="12" t="str">
        <f>B3</f>
        <v>X</v>
      </c>
      <c r="D32" s="6" t="str">
        <f>E3</f>
        <v>Y3</v>
      </c>
      <c r="E32" s="48" t="s">
        <v>29</v>
      </c>
      <c r="F32" s="49"/>
      <c r="G32" s="49"/>
      <c r="H32" s="49"/>
      <c r="I32" s="49"/>
      <c r="J32" s="111"/>
      <c r="K32" s="4" t="s">
        <v>9</v>
      </c>
      <c r="L32" s="5" t="s">
        <v>30</v>
      </c>
      <c r="M32" s="5" t="s">
        <v>31</v>
      </c>
      <c r="N32" s="39" t="s">
        <v>32</v>
      </c>
      <c r="O32" s="16" t="s">
        <v>33</v>
      </c>
      <c r="P32" s="12" t="s">
        <v>24</v>
      </c>
      <c r="Q32" s="39" t="s">
        <v>2</v>
      </c>
      <c r="R32" s="16" t="s">
        <v>12</v>
      </c>
      <c r="S32" s="4" t="s">
        <v>4</v>
      </c>
      <c r="T32" s="5" t="s">
        <v>28</v>
      </c>
      <c r="U32" s="6" t="s">
        <v>35</v>
      </c>
      <c r="V32" s="4" t="s">
        <v>11</v>
      </c>
      <c r="W32" s="6" t="s">
        <v>13</v>
      </c>
      <c r="X32" s="12" t="s">
        <v>14</v>
      </c>
      <c r="Y32" s="6" t="s">
        <v>15</v>
      </c>
    </row>
    <row r="33" spans="2:25" s="1" customFormat="1" ht="20.100000000000001" customHeight="1" x14ac:dyDescent="0.25">
      <c r="B33" s="109"/>
      <c r="C33" s="29">
        <f t="shared" ref="C33:C39" si="20">B4</f>
        <v>1</v>
      </c>
      <c r="D33" s="35">
        <f t="shared" ref="D33:D39" si="21">E4</f>
        <v>3.72</v>
      </c>
      <c r="E33" s="105"/>
      <c r="F33" s="106"/>
      <c r="G33" s="106"/>
      <c r="H33" s="106"/>
      <c r="I33" s="106"/>
      <c r="J33" s="112"/>
      <c r="K33" s="36">
        <f>C33*C33</f>
        <v>1</v>
      </c>
      <c r="L33" s="30">
        <f>D33/C33</f>
        <v>3.72</v>
      </c>
      <c r="M33" s="30">
        <f>1/C33</f>
        <v>1</v>
      </c>
      <c r="N33" s="35">
        <f>1/(C33*C33)</f>
        <v>1</v>
      </c>
      <c r="O33" s="117">
        <f>7*N40-M40*M40</f>
        <v>3.8596712018140602</v>
      </c>
      <c r="P33" s="69">
        <f>(D40*N40-L40*M40)/O33</f>
        <v>-0.21451567608534061</v>
      </c>
      <c r="Q33" s="114">
        <f>(7*L40-D40*M40)/O33</f>
        <v>3.8843673899824624</v>
      </c>
      <c r="R33" s="117">
        <f>D40/7</f>
        <v>1.2242857142857144</v>
      </c>
      <c r="S33" s="36">
        <f>$P$33+$Q$33/C33</f>
        <v>3.6698517138971218</v>
      </c>
      <c r="T33" s="30">
        <f>POWER(D33-S33, 2)</f>
        <v>2.5148505990561427E-3</v>
      </c>
      <c r="U33" s="31">
        <f>POWER(D33-$R$33, 2)</f>
        <v>6.2285897959183663</v>
      </c>
      <c r="V33" s="91">
        <f>T40/5</f>
        <v>1.0070980867920206E-2</v>
      </c>
      <c r="W33" s="67">
        <f>U40/5</f>
        <v>1.6739542857142857</v>
      </c>
      <c r="X33" s="69">
        <f>V33/W33</f>
        <v>6.0162818984168748E-3</v>
      </c>
      <c r="Y33" s="67">
        <v>3.97</v>
      </c>
    </row>
    <row r="34" spans="2:25" s="1" customFormat="1" ht="20.100000000000001" customHeight="1" thickBot="1" x14ac:dyDescent="0.3">
      <c r="B34" s="82"/>
      <c r="C34" s="25">
        <f t="shared" si="20"/>
        <v>2</v>
      </c>
      <c r="D34" s="40">
        <f t="shared" si="21"/>
        <v>1.55</v>
      </c>
      <c r="E34" s="93"/>
      <c r="F34" s="94"/>
      <c r="G34" s="94"/>
      <c r="H34" s="94"/>
      <c r="I34" s="94"/>
      <c r="J34" s="95"/>
      <c r="K34" s="37">
        <f t="shared" ref="K34:K39" si="22">C34*C34</f>
        <v>4</v>
      </c>
      <c r="L34" s="20">
        <f t="shared" ref="L34:L39" si="23">D34/C34</f>
        <v>0.77500000000000002</v>
      </c>
      <c r="M34" s="20">
        <f t="shared" ref="M34:M39" si="24">1/C34</f>
        <v>0.5</v>
      </c>
      <c r="N34" s="40">
        <f t="shared" ref="N34:N39" si="25">1/(C34*C34)</f>
        <v>0.25</v>
      </c>
      <c r="O34" s="118"/>
      <c r="P34" s="120"/>
      <c r="Q34" s="115"/>
      <c r="R34" s="118"/>
      <c r="S34" s="36">
        <f t="shared" ref="S34:S39" si="26">$P$33+$Q$33/C34</f>
        <v>1.7276680189058906</v>
      </c>
      <c r="T34" s="30">
        <f t="shared" ref="T34:T39" si="27">POWER(D34-S34, 2)</f>
        <v>3.1565924941943886E-2</v>
      </c>
      <c r="U34" s="31">
        <f t="shared" ref="U34:U39" si="28">POWER(D34-$R$33, 2)</f>
        <v>0.10608979591836729</v>
      </c>
      <c r="V34" s="92"/>
      <c r="W34" s="68"/>
      <c r="X34" s="70"/>
      <c r="Y34" s="71"/>
    </row>
    <row r="35" spans="2:25" s="1" customFormat="1" ht="20.100000000000001" customHeight="1" x14ac:dyDescent="0.25">
      <c r="B35" s="82"/>
      <c r="C35" s="25">
        <f t="shared" si="20"/>
        <v>3</v>
      </c>
      <c r="D35" s="40">
        <f t="shared" si="21"/>
        <v>1.1200000000000001</v>
      </c>
      <c r="E35" s="93"/>
      <c r="F35" s="94"/>
      <c r="G35" s="94"/>
      <c r="H35" s="94"/>
      <c r="I35" s="94"/>
      <c r="J35" s="95"/>
      <c r="K35" s="37">
        <f t="shared" si="22"/>
        <v>9</v>
      </c>
      <c r="L35" s="20">
        <f t="shared" si="23"/>
        <v>0.37333333333333335</v>
      </c>
      <c r="M35" s="20">
        <f t="shared" si="24"/>
        <v>0.33333333333333331</v>
      </c>
      <c r="N35" s="40">
        <f t="shared" si="25"/>
        <v>0.1111111111111111</v>
      </c>
      <c r="O35" s="118"/>
      <c r="P35" s="120"/>
      <c r="Q35" s="115"/>
      <c r="R35" s="118"/>
      <c r="S35" s="36">
        <f t="shared" si="26"/>
        <v>1.0802734539088135</v>
      </c>
      <c r="T35" s="30">
        <f>POWER(D35-S35, 2)</f>
        <v>1.5781984643351767E-3</v>
      </c>
      <c r="U35" s="31">
        <f t="shared" si="28"/>
        <v>1.0875510204081638E-2</v>
      </c>
      <c r="V35" s="72" t="s">
        <v>16</v>
      </c>
      <c r="W35" s="73"/>
      <c r="X35" s="73"/>
      <c r="Y35" s="74"/>
    </row>
    <row r="36" spans="2:25" s="1" customFormat="1" ht="20.100000000000001" customHeight="1" x14ac:dyDescent="0.25">
      <c r="B36" s="82"/>
      <c r="C36" s="25">
        <f t="shared" si="20"/>
        <v>4</v>
      </c>
      <c r="D36" s="40">
        <f t="shared" si="21"/>
        <v>0.85</v>
      </c>
      <c r="E36" s="93"/>
      <c r="F36" s="94"/>
      <c r="G36" s="94"/>
      <c r="H36" s="94"/>
      <c r="I36" s="94"/>
      <c r="J36" s="95"/>
      <c r="K36" s="37">
        <f t="shared" si="22"/>
        <v>16</v>
      </c>
      <c r="L36" s="20">
        <f t="shared" si="23"/>
        <v>0.21249999999999999</v>
      </c>
      <c r="M36" s="20">
        <f t="shared" si="24"/>
        <v>0.25</v>
      </c>
      <c r="N36" s="40">
        <f t="shared" si="25"/>
        <v>6.25E-2</v>
      </c>
      <c r="O36" s="118"/>
      <c r="P36" s="120"/>
      <c r="Q36" s="115"/>
      <c r="R36" s="118"/>
      <c r="S36" s="36">
        <f t="shared" si="26"/>
        <v>0.756576171410275</v>
      </c>
      <c r="T36" s="30">
        <f t="shared" si="27"/>
        <v>8.7280117483623139E-3</v>
      </c>
      <c r="U36" s="31">
        <f t="shared" si="28"/>
        <v>0.14008979591836745</v>
      </c>
      <c r="V36" s="75"/>
      <c r="W36" s="76"/>
      <c r="X36" s="76"/>
      <c r="Y36" s="77"/>
    </row>
    <row r="37" spans="2:25" s="1" customFormat="1" ht="20.100000000000001" customHeight="1" x14ac:dyDescent="0.25">
      <c r="B37" s="82"/>
      <c r="C37" s="25">
        <f t="shared" si="20"/>
        <v>5</v>
      </c>
      <c r="D37" s="40">
        <f t="shared" si="21"/>
        <v>0.61</v>
      </c>
      <c r="E37" s="93"/>
      <c r="F37" s="94"/>
      <c r="G37" s="94"/>
      <c r="H37" s="94"/>
      <c r="I37" s="94"/>
      <c r="J37" s="95"/>
      <c r="K37" s="37">
        <f t="shared" si="22"/>
        <v>25</v>
      </c>
      <c r="L37" s="20">
        <f t="shared" si="23"/>
        <v>0.122</v>
      </c>
      <c r="M37" s="20">
        <f t="shared" si="24"/>
        <v>0.2</v>
      </c>
      <c r="N37" s="40">
        <f t="shared" si="25"/>
        <v>0.04</v>
      </c>
      <c r="O37" s="118"/>
      <c r="P37" s="120"/>
      <c r="Q37" s="115"/>
      <c r="R37" s="118"/>
      <c r="S37" s="36">
        <f t="shared" si="26"/>
        <v>0.56235780191115192</v>
      </c>
      <c r="T37" s="30">
        <f t="shared" si="27"/>
        <v>2.2697790387370383E-3</v>
      </c>
      <c r="U37" s="31">
        <f t="shared" si="28"/>
        <v>0.3773469387755104</v>
      </c>
      <c r="V37" s="75"/>
      <c r="W37" s="76"/>
      <c r="X37" s="76"/>
      <c r="Y37" s="77"/>
    </row>
    <row r="38" spans="2:25" s="1" customFormat="1" ht="20.100000000000001" customHeight="1" x14ac:dyDescent="0.25">
      <c r="B38" s="82"/>
      <c r="C38" s="25">
        <f t="shared" si="20"/>
        <v>6</v>
      </c>
      <c r="D38" s="40">
        <f t="shared" si="21"/>
        <v>0.44</v>
      </c>
      <c r="E38" s="93"/>
      <c r="F38" s="94"/>
      <c r="G38" s="94"/>
      <c r="H38" s="94"/>
      <c r="I38" s="94"/>
      <c r="J38" s="95"/>
      <c r="K38" s="37">
        <f t="shared" si="22"/>
        <v>36</v>
      </c>
      <c r="L38" s="20">
        <f t="shared" si="23"/>
        <v>7.3333333333333334E-2</v>
      </c>
      <c r="M38" s="20">
        <f t="shared" si="24"/>
        <v>0.16666666666666666</v>
      </c>
      <c r="N38" s="40">
        <f t="shared" si="25"/>
        <v>2.7777777777777776E-2</v>
      </c>
      <c r="O38" s="118"/>
      <c r="P38" s="120"/>
      <c r="Q38" s="115"/>
      <c r="R38" s="118"/>
      <c r="S38" s="36">
        <f t="shared" si="26"/>
        <v>0.43287888891173643</v>
      </c>
      <c r="T38" s="30">
        <f t="shared" si="27"/>
        <v>5.0710223131390461E-5</v>
      </c>
      <c r="U38" s="31">
        <f t="shared" si="28"/>
        <v>0.6151040816326534</v>
      </c>
      <c r="V38" s="75" t="s">
        <v>17</v>
      </c>
      <c r="W38" s="76"/>
      <c r="X38" s="76"/>
      <c r="Y38" s="77"/>
    </row>
    <row r="39" spans="2:25" s="1" customFormat="1" ht="20.100000000000001" customHeight="1" thickBot="1" x14ac:dyDescent="0.3">
      <c r="B39" s="110"/>
      <c r="C39" s="32">
        <f t="shared" si="20"/>
        <v>7</v>
      </c>
      <c r="D39" s="41">
        <f t="shared" si="21"/>
        <v>0.28000000000000003</v>
      </c>
      <c r="E39" s="93"/>
      <c r="F39" s="94"/>
      <c r="G39" s="94"/>
      <c r="H39" s="94"/>
      <c r="I39" s="94"/>
      <c r="J39" s="95"/>
      <c r="K39" s="38">
        <f t="shared" si="22"/>
        <v>49</v>
      </c>
      <c r="L39" s="33">
        <f t="shared" si="23"/>
        <v>0.04</v>
      </c>
      <c r="M39" s="33">
        <f t="shared" si="24"/>
        <v>0.14285714285714285</v>
      </c>
      <c r="N39" s="41">
        <f t="shared" si="25"/>
        <v>2.0408163265306121E-2</v>
      </c>
      <c r="O39" s="119"/>
      <c r="P39" s="70"/>
      <c r="Q39" s="116"/>
      <c r="R39" s="118"/>
      <c r="S39" s="36">
        <f t="shared" si="26"/>
        <v>0.34039395105501113</v>
      </c>
      <c r="T39" s="30">
        <f t="shared" si="27"/>
        <v>3.6474293240350772E-3</v>
      </c>
      <c r="U39" s="31">
        <f t="shared" si="28"/>
        <v>0.89167551020408187</v>
      </c>
      <c r="V39" s="75"/>
      <c r="W39" s="76"/>
      <c r="X39" s="76"/>
      <c r="Y39" s="77"/>
    </row>
    <row r="40" spans="2:25" s="1" customFormat="1" ht="20.100000000000001" customHeight="1" thickBot="1" x14ac:dyDescent="0.3">
      <c r="B40" s="16" t="s">
        <v>3</v>
      </c>
      <c r="C40" s="12">
        <f>SUM(C33:C39)</f>
        <v>28</v>
      </c>
      <c r="D40" s="6">
        <f>SUM(D33:D39)</f>
        <v>8.57</v>
      </c>
      <c r="E40" s="107"/>
      <c r="F40" s="108"/>
      <c r="G40" s="108"/>
      <c r="H40" s="108"/>
      <c r="I40" s="108"/>
      <c r="J40" s="113"/>
      <c r="K40" s="4">
        <f>SUM(K33:K39)</f>
        <v>140</v>
      </c>
      <c r="L40" s="5">
        <f t="shared" ref="L40:N40" si="29">SUM(L33:L39)</f>
        <v>5.3161666666666667</v>
      </c>
      <c r="M40" s="5">
        <f t="shared" si="29"/>
        <v>2.5928571428571425</v>
      </c>
      <c r="N40" s="39">
        <f t="shared" si="29"/>
        <v>1.511797052154195</v>
      </c>
      <c r="O40" s="60" t="s">
        <v>34</v>
      </c>
      <c r="P40" s="61"/>
      <c r="Q40" s="61"/>
      <c r="R40" s="119"/>
      <c r="S40" s="4">
        <f>SUM(S33:S39)</f>
        <v>8.57</v>
      </c>
      <c r="T40" s="5">
        <f>SUM(T33:T39)</f>
        <v>5.0354904339601034E-2</v>
      </c>
      <c r="U40" s="6">
        <f t="shared" ref="U40" si="30">SUM(U33:U39)</f>
        <v>8.3697714285714291</v>
      </c>
      <c r="V40" s="78"/>
      <c r="W40" s="79"/>
      <c r="X40" s="79"/>
      <c r="Y40" s="80"/>
    </row>
    <row r="41" spans="2:25" s="1" customFormat="1" ht="20.100000000000001" customHeight="1" x14ac:dyDescent="0.25"/>
    <row r="42" spans="2:25" s="1" customFormat="1" ht="20.100000000000001" customHeight="1" x14ac:dyDescent="0.25"/>
    <row r="43" spans="2:25" s="1" customFormat="1" ht="20.100000000000001" customHeight="1" x14ac:dyDescent="0.25"/>
    <row r="44" spans="2:25" s="1" customFormat="1" ht="20.100000000000001" customHeight="1" x14ac:dyDescent="0.25"/>
    <row r="45" spans="2:25" s="1" customFormat="1" ht="20.100000000000001" customHeight="1" x14ac:dyDescent="0.25"/>
    <row r="46" spans="2:25" s="1" customFormat="1" ht="20.100000000000001" customHeight="1" x14ac:dyDescent="0.25"/>
    <row r="47" spans="2:25" s="1" customFormat="1" ht="20.100000000000001" customHeight="1" x14ac:dyDescent="0.25"/>
    <row r="48" spans="2:25" s="1" customFormat="1" ht="20.100000000000001" customHeight="1" x14ac:dyDescent="0.25"/>
    <row r="49" s="1" customFormat="1" ht="20.100000000000001" customHeight="1" x14ac:dyDescent="0.25"/>
    <row r="50" s="1" customFormat="1" ht="20.100000000000001" customHeight="1" x14ac:dyDescent="0.25"/>
    <row r="51" s="1" customFormat="1" ht="20.100000000000001" customHeight="1" x14ac:dyDescent="0.25"/>
    <row r="52" s="1" customFormat="1" ht="20.100000000000001" customHeight="1" x14ac:dyDescent="0.25"/>
    <row r="53" s="1" customFormat="1" ht="20.100000000000001" customHeight="1" x14ac:dyDescent="0.25"/>
    <row r="54" s="1" customFormat="1" ht="20.100000000000001" customHeight="1" x14ac:dyDescent="0.25"/>
    <row r="55" s="1" customFormat="1" ht="20.100000000000001" customHeight="1" x14ac:dyDescent="0.25"/>
    <row r="56" s="1" customFormat="1" ht="20.100000000000001" customHeight="1" x14ac:dyDescent="0.25"/>
    <row r="57" s="1" customFormat="1" ht="20.100000000000001" customHeight="1" x14ac:dyDescent="0.25"/>
    <row r="58" s="1" customFormat="1" ht="20.100000000000001" customHeight="1" x14ac:dyDescent="0.25"/>
    <row r="59" s="1" customFormat="1" ht="20.100000000000001" customHeight="1" x14ac:dyDescent="0.25"/>
    <row r="60" s="1" customFormat="1" ht="20.100000000000001" customHeight="1" x14ac:dyDescent="0.25"/>
    <row r="61" s="1" customFormat="1" ht="20.100000000000001" customHeight="1" x14ac:dyDescent="0.25"/>
    <row r="62" s="1" customFormat="1" ht="20.100000000000001" customHeight="1" x14ac:dyDescent="0.25"/>
    <row r="63" s="1" customFormat="1" ht="20.100000000000001" customHeight="1" x14ac:dyDescent="0.25"/>
    <row r="64" s="1" customFormat="1" ht="20.100000000000001" customHeight="1" x14ac:dyDescent="0.25"/>
    <row r="65" s="1" customFormat="1" ht="20.100000000000001" customHeight="1" x14ac:dyDescent="0.25"/>
    <row r="66" s="1" customFormat="1" ht="20.100000000000001" customHeight="1" x14ac:dyDescent="0.25"/>
    <row r="67" s="1" customFormat="1" ht="20.100000000000001" customHeight="1" x14ac:dyDescent="0.25"/>
    <row r="68" s="1" customFormat="1" ht="20.100000000000001" customHeight="1" x14ac:dyDescent="0.25"/>
    <row r="69" s="1" customFormat="1" ht="20.100000000000001" customHeight="1" x14ac:dyDescent="0.25"/>
    <row r="70" s="1" customFormat="1" ht="20.100000000000001" customHeight="1" x14ac:dyDescent="0.25"/>
    <row r="71" s="1" customFormat="1" ht="20.100000000000001" customHeight="1" x14ac:dyDescent="0.25"/>
    <row r="72" s="1" customFormat="1" ht="20.100000000000001" customHeight="1" x14ac:dyDescent="0.25"/>
    <row r="73" s="1" customFormat="1" ht="20.100000000000001" customHeight="1" x14ac:dyDescent="0.25"/>
    <row r="74" s="1" customFormat="1" ht="20.100000000000001" customHeight="1" x14ac:dyDescent="0.25"/>
    <row r="75" s="1" customFormat="1" ht="20.100000000000001" customHeight="1" x14ac:dyDescent="0.25"/>
    <row r="76" s="1" customFormat="1" ht="20.100000000000001" customHeight="1" x14ac:dyDescent="0.25"/>
    <row r="77" s="1" customFormat="1" ht="20.100000000000001" customHeight="1" x14ac:dyDescent="0.25"/>
    <row r="78" s="1" customFormat="1" ht="20.100000000000001" customHeight="1" x14ac:dyDescent="0.25"/>
    <row r="79" s="1" customFormat="1" ht="20.100000000000001" customHeight="1" x14ac:dyDescent="0.25"/>
    <row r="80" s="1" customFormat="1" ht="20.100000000000001" customHeight="1" x14ac:dyDescent="0.25"/>
    <row r="81" s="1" customFormat="1" ht="20.100000000000001" customHeight="1" x14ac:dyDescent="0.25"/>
    <row r="82" s="1" customFormat="1" ht="20.100000000000001" customHeight="1" x14ac:dyDescent="0.25"/>
    <row r="83" s="1" customFormat="1" ht="20.100000000000001" customHeight="1" x14ac:dyDescent="0.25"/>
    <row r="84" s="1" customFormat="1" ht="20.100000000000001" customHeight="1" x14ac:dyDescent="0.25"/>
    <row r="85" s="1" customFormat="1" ht="20.100000000000001" customHeight="1" x14ac:dyDescent="0.25"/>
    <row r="86" s="1" customFormat="1" ht="20.100000000000001" customHeight="1" x14ac:dyDescent="0.25"/>
    <row r="87" s="1" customFormat="1" ht="20.100000000000001" customHeight="1" x14ac:dyDescent="0.25"/>
    <row r="88" s="1" customFormat="1" ht="20.100000000000001" customHeight="1" x14ac:dyDescent="0.25"/>
    <row r="89" s="1" customFormat="1" ht="20.100000000000001" customHeight="1" x14ac:dyDescent="0.25"/>
    <row r="90" s="1" customFormat="1" ht="20.100000000000001" customHeight="1" x14ac:dyDescent="0.25"/>
    <row r="91" s="1" customFormat="1" ht="20.100000000000001" customHeight="1" x14ac:dyDescent="0.25"/>
    <row r="92" s="1" customFormat="1" ht="20.100000000000001" customHeight="1" x14ac:dyDescent="0.25"/>
    <row r="93" s="1" customFormat="1" ht="20.100000000000001" customHeight="1" x14ac:dyDescent="0.25"/>
    <row r="94" s="1" customFormat="1" ht="20.100000000000001" customHeight="1" x14ac:dyDescent="0.25"/>
    <row r="95" s="1" customFormat="1" ht="20.100000000000001" customHeight="1" x14ac:dyDescent="0.25"/>
    <row r="96" s="1" customFormat="1" ht="20.100000000000001" customHeight="1" x14ac:dyDescent="0.25"/>
    <row r="97" s="1" customFormat="1" ht="20.100000000000001" customHeight="1" x14ac:dyDescent="0.25"/>
    <row r="98" s="1" customFormat="1" ht="20.100000000000001" customHeight="1" x14ac:dyDescent="0.25"/>
    <row r="99" s="1" customFormat="1" ht="20.100000000000001" customHeight="1" x14ac:dyDescent="0.25"/>
    <row r="100" s="1" customFormat="1" ht="20.100000000000001" customHeight="1" x14ac:dyDescent="0.25"/>
    <row r="101" s="1" customFormat="1" ht="20.100000000000001" customHeight="1" x14ac:dyDescent="0.25"/>
    <row r="102" s="1" customFormat="1" ht="20.100000000000001" customHeight="1" x14ac:dyDescent="0.25"/>
    <row r="103" s="1" customFormat="1" ht="20.100000000000001" customHeight="1" x14ac:dyDescent="0.25"/>
    <row r="104" s="1" customFormat="1" ht="20.100000000000001" customHeight="1" x14ac:dyDescent="0.25"/>
    <row r="105" s="1" customFormat="1" ht="20.100000000000001" customHeight="1" x14ac:dyDescent="0.25"/>
    <row r="106" s="1" customFormat="1" ht="20.100000000000001" customHeight="1" x14ac:dyDescent="0.25"/>
    <row r="107" s="1" customFormat="1" ht="20.100000000000001" customHeight="1" x14ac:dyDescent="0.25"/>
    <row r="108" s="1" customFormat="1" ht="20.100000000000001" customHeight="1" x14ac:dyDescent="0.25"/>
    <row r="109" s="1" customFormat="1" ht="20.100000000000001" customHeight="1" x14ac:dyDescent="0.25"/>
    <row r="110" s="1" customFormat="1" ht="20.100000000000001" customHeight="1" x14ac:dyDescent="0.25"/>
    <row r="111" s="1" customFormat="1" ht="20.100000000000001" customHeight="1" x14ac:dyDescent="0.25"/>
    <row r="112" s="1" customFormat="1" ht="20.100000000000001" customHeight="1" x14ac:dyDescent="0.25"/>
    <row r="113" s="1" customFormat="1" ht="20.100000000000001" customHeight="1" x14ac:dyDescent="0.25"/>
    <row r="114" s="1" customFormat="1" ht="20.100000000000001" customHeight="1" x14ac:dyDescent="0.25"/>
    <row r="115" s="1" customFormat="1" ht="20.100000000000001" customHeight="1" x14ac:dyDescent="0.25"/>
    <row r="116" s="1" customFormat="1" ht="20.100000000000001" customHeight="1" x14ac:dyDescent="0.25"/>
    <row r="117" s="1" customFormat="1" ht="20.100000000000001" customHeight="1" x14ac:dyDescent="0.25"/>
    <row r="118" s="1" customFormat="1" ht="20.100000000000001" customHeight="1" x14ac:dyDescent="0.25"/>
    <row r="119" s="1" customFormat="1" ht="20.100000000000001" customHeight="1" x14ac:dyDescent="0.25"/>
    <row r="120" s="1" customFormat="1" ht="20.100000000000001" customHeight="1" x14ac:dyDescent="0.25"/>
    <row r="121" s="1" customFormat="1" ht="20.100000000000001" customHeight="1" x14ac:dyDescent="0.25"/>
    <row r="122" s="1" customFormat="1" ht="20.100000000000001" customHeight="1" x14ac:dyDescent="0.25"/>
    <row r="123" s="1" customFormat="1" ht="20.100000000000001" customHeight="1" x14ac:dyDescent="0.25"/>
    <row r="124" s="1" customFormat="1" ht="20.100000000000001" customHeight="1" x14ac:dyDescent="0.25"/>
    <row r="125" s="1" customFormat="1" ht="20.100000000000001" customHeight="1" x14ac:dyDescent="0.25"/>
    <row r="126" s="1" customFormat="1" ht="20.100000000000001" customHeight="1" x14ac:dyDescent="0.25"/>
    <row r="127" s="1" customFormat="1" ht="20.100000000000001" customHeight="1" x14ac:dyDescent="0.25"/>
    <row r="128" s="1" customFormat="1" ht="20.100000000000001" customHeight="1" x14ac:dyDescent="0.25"/>
    <row r="129" s="1" customFormat="1" ht="20.100000000000001" customHeight="1" x14ac:dyDescent="0.25"/>
    <row r="130" s="1" customFormat="1" ht="20.100000000000001" customHeight="1" x14ac:dyDescent="0.25"/>
    <row r="131" s="1" customFormat="1" ht="20.100000000000001" customHeight="1" x14ac:dyDescent="0.25"/>
    <row r="132" s="1" customFormat="1" ht="20.100000000000001" customHeight="1" x14ac:dyDescent="0.25"/>
    <row r="133" s="1" customFormat="1" ht="20.100000000000001" customHeight="1" x14ac:dyDescent="0.25"/>
    <row r="134" s="1" customFormat="1" ht="20.100000000000001" customHeight="1" x14ac:dyDescent="0.25"/>
    <row r="135" s="1" customFormat="1" ht="20.100000000000001" customHeight="1" x14ac:dyDescent="0.25"/>
    <row r="136" s="1" customFormat="1" ht="20.100000000000001" customHeight="1" x14ac:dyDescent="0.25"/>
    <row r="137" s="1" customFormat="1" ht="20.100000000000001" customHeight="1" x14ac:dyDescent="0.25"/>
    <row r="138" s="1" customFormat="1" ht="20.100000000000001" customHeight="1" x14ac:dyDescent="0.25"/>
    <row r="139" s="1" customFormat="1" ht="20.100000000000001" customHeight="1" x14ac:dyDescent="0.25"/>
    <row r="140" s="1" customFormat="1" ht="20.100000000000001" customHeight="1" x14ac:dyDescent="0.25"/>
    <row r="141" s="1" customFormat="1" ht="20.100000000000001" customHeight="1" x14ac:dyDescent="0.25"/>
    <row r="142" s="1" customFormat="1" ht="20.100000000000001" customHeight="1" x14ac:dyDescent="0.25"/>
    <row r="143" s="1" customFormat="1" ht="20.100000000000001" customHeight="1" x14ac:dyDescent="0.25"/>
    <row r="144" s="1" customFormat="1" ht="20.100000000000001" customHeight="1" x14ac:dyDescent="0.25"/>
    <row r="145" s="1" customFormat="1" ht="20.100000000000001" customHeight="1" x14ac:dyDescent="0.25"/>
    <row r="146" s="1" customFormat="1" ht="20.100000000000001" customHeight="1" x14ac:dyDescent="0.25"/>
    <row r="147" s="1" customFormat="1" ht="20.100000000000001" customHeight="1" x14ac:dyDescent="0.25"/>
    <row r="148" s="1" customFormat="1" ht="20.100000000000001" customHeight="1" x14ac:dyDescent="0.25"/>
    <row r="149" s="1" customFormat="1" ht="20.100000000000001" customHeight="1" x14ac:dyDescent="0.25"/>
    <row r="150" s="1" customFormat="1" ht="20.100000000000001" customHeight="1" x14ac:dyDescent="0.25"/>
    <row r="151" s="1" customFormat="1" ht="20.100000000000001" customHeight="1" x14ac:dyDescent="0.25"/>
    <row r="152" s="1" customFormat="1" ht="20.100000000000001" customHeight="1" x14ac:dyDescent="0.25"/>
    <row r="153" s="1" customFormat="1" ht="20.100000000000001" customHeight="1" x14ac:dyDescent="0.25"/>
    <row r="154" s="1" customFormat="1" ht="20.100000000000001" customHeight="1" x14ac:dyDescent="0.25"/>
    <row r="155" s="1" customFormat="1" ht="20.100000000000001" customHeight="1" x14ac:dyDescent="0.25"/>
    <row r="156" s="1" customFormat="1" ht="20.100000000000001" customHeight="1" x14ac:dyDescent="0.25"/>
    <row r="157" s="1" customFormat="1" ht="20.100000000000001" customHeight="1" x14ac:dyDescent="0.25"/>
    <row r="158" s="1" customFormat="1" ht="20.100000000000001" customHeight="1" x14ac:dyDescent="0.25"/>
    <row r="159" s="1" customFormat="1" ht="20.100000000000001" customHeight="1" x14ac:dyDescent="0.25"/>
    <row r="160" s="1" customFormat="1" ht="20.100000000000001" customHeight="1" x14ac:dyDescent="0.25"/>
    <row r="161" s="1" customFormat="1" ht="20.100000000000001" customHeight="1" x14ac:dyDescent="0.25"/>
    <row r="162" s="1" customFormat="1" ht="20.100000000000001" customHeight="1" x14ac:dyDescent="0.25"/>
    <row r="163" s="1" customFormat="1" ht="20.100000000000001" customHeight="1" x14ac:dyDescent="0.25"/>
    <row r="164" s="1" customFormat="1" ht="20.100000000000001" customHeight="1" x14ac:dyDescent="0.25"/>
    <row r="165" s="1" customFormat="1" ht="20.100000000000001" customHeight="1" x14ac:dyDescent="0.25"/>
    <row r="166" s="1" customFormat="1" ht="20.100000000000001" customHeight="1" x14ac:dyDescent="0.25"/>
    <row r="167" s="1" customFormat="1" ht="20.100000000000001" customHeight="1" x14ac:dyDescent="0.25"/>
    <row r="168" s="1" customFormat="1" ht="20.100000000000001" customHeight="1" x14ac:dyDescent="0.25"/>
    <row r="169" s="1" customFormat="1" ht="20.100000000000001" customHeight="1" x14ac:dyDescent="0.25"/>
    <row r="170" s="1" customFormat="1" ht="20.100000000000001" customHeight="1" x14ac:dyDescent="0.25"/>
    <row r="171" s="1" customFormat="1" ht="20.100000000000001" customHeight="1" x14ac:dyDescent="0.25"/>
    <row r="172" s="1" customFormat="1" ht="20.100000000000001" customHeight="1" x14ac:dyDescent="0.25"/>
    <row r="173" s="1" customFormat="1" ht="20.100000000000001" customHeight="1" x14ac:dyDescent="0.25"/>
    <row r="174" s="1" customFormat="1" ht="20.100000000000001" customHeight="1" x14ac:dyDescent="0.25"/>
    <row r="175" s="1" customFormat="1" ht="20.100000000000001" customHeight="1" x14ac:dyDescent="0.25"/>
    <row r="176" s="1" customFormat="1" ht="20.100000000000001" customHeight="1" x14ac:dyDescent="0.25"/>
    <row r="177" s="1" customFormat="1" ht="20.100000000000001" customHeight="1" x14ac:dyDescent="0.25"/>
    <row r="178" s="1" customFormat="1" ht="20.100000000000001" customHeight="1" x14ac:dyDescent="0.25"/>
    <row r="179" s="1" customFormat="1" ht="20.100000000000001" customHeight="1" x14ac:dyDescent="0.25"/>
    <row r="180" s="1" customFormat="1" ht="20.100000000000001" customHeight="1" x14ac:dyDescent="0.25"/>
    <row r="181" s="1" customFormat="1" ht="20.100000000000001" customHeight="1" x14ac:dyDescent="0.25"/>
    <row r="182" s="1" customFormat="1" ht="20.100000000000001" customHeight="1" x14ac:dyDescent="0.25"/>
    <row r="183" s="1" customFormat="1" ht="20.100000000000001" customHeight="1" x14ac:dyDescent="0.25"/>
    <row r="184" s="1" customFormat="1" ht="20.100000000000001" customHeight="1" x14ac:dyDescent="0.25"/>
    <row r="185" s="1" customFormat="1" ht="20.100000000000001" customHeight="1" x14ac:dyDescent="0.25"/>
    <row r="186" s="1" customFormat="1" ht="20.100000000000001" customHeight="1" x14ac:dyDescent="0.25"/>
    <row r="187" s="1" customFormat="1" ht="20.100000000000001" customHeight="1" x14ac:dyDescent="0.25"/>
    <row r="188" s="1" customFormat="1" ht="20.100000000000001" customHeight="1" x14ac:dyDescent="0.25"/>
    <row r="189" s="1" customFormat="1" ht="20.100000000000001" customHeight="1" x14ac:dyDescent="0.25"/>
    <row r="190" s="1" customFormat="1" ht="20.100000000000001" customHeight="1" x14ac:dyDescent="0.25"/>
    <row r="191" s="1" customFormat="1" ht="20.100000000000001" customHeight="1" x14ac:dyDescent="0.25"/>
    <row r="192" s="1" customFormat="1" ht="20.100000000000001" customHeight="1" x14ac:dyDescent="0.25"/>
    <row r="193" s="1" customFormat="1" ht="20.100000000000001" customHeight="1" x14ac:dyDescent="0.25"/>
    <row r="194" s="1" customFormat="1" ht="20.100000000000001" customHeight="1" x14ac:dyDescent="0.25"/>
    <row r="195" s="1" customFormat="1" ht="20.100000000000001" customHeight="1" x14ac:dyDescent="0.25"/>
    <row r="196" s="1" customFormat="1" ht="20.100000000000001" customHeight="1" x14ac:dyDescent="0.25"/>
    <row r="197" s="1" customFormat="1" ht="20.100000000000001" customHeight="1" x14ac:dyDescent="0.25"/>
    <row r="198" s="1" customFormat="1" ht="20.100000000000001" customHeight="1" x14ac:dyDescent="0.25"/>
    <row r="199" s="1" customFormat="1" ht="20.100000000000001" customHeight="1" x14ac:dyDescent="0.25"/>
    <row r="200" s="1" customFormat="1" ht="20.100000000000001" customHeight="1" x14ac:dyDescent="0.25"/>
    <row r="201" s="1" customFormat="1" ht="20.100000000000001" customHeight="1" x14ac:dyDescent="0.25"/>
    <row r="202" s="1" customFormat="1" ht="20.100000000000001" customHeight="1" x14ac:dyDescent="0.25"/>
    <row r="203" s="1" customFormat="1" ht="20.100000000000001" customHeight="1" x14ac:dyDescent="0.25"/>
    <row r="204" s="1" customFormat="1" ht="20.100000000000001" customHeight="1" x14ac:dyDescent="0.25"/>
    <row r="205" s="1" customFormat="1" ht="20.100000000000001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</sheetData>
  <mergeCells count="51">
    <mergeCell ref="B33:B39"/>
    <mergeCell ref="O33:O39"/>
    <mergeCell ref="P33:P39"/>
    <mergeCell ref="Q33:Q39"/>
    <mergeCell ref="O40:Q40"/>
    <mergeCell ref="AA23:AA24"/>
    <mergeCell ref="X25:AA27"/>
    <mergeCell ref="X28:AA30"/>
    <mergeCell ref="E32:J32"/>
    <mergeCell ref="E33:J40"/>
    <mergeCell ref="R33:R40"/>
    <mergeCell ref="V33:V34"/>
    <mergeCell ref="W33:W34"/>
    <mergeCell ref="X33:X34"/>
    <mergeCell ref="Y33:Y34"/>
    <mergeCell ref="V35:Y37"/>
    <mergeCell ref="V38:Y40"/>
    <mergeCell ref="S23:S24"/>
    <mergeCell ref="T23:T30"/>
    <mergeCell ref="X23:X24"/>
    <mergeCell ref="Y23:Y24"/>
    <mergeCell ref="Z23:Z24"/>
    <mergeCell ref="R23:R24"/>
    <mergeCell ref="P25:P26"/>
    <mergeCell ref="P27:P28"/>
    <mergeCell ref="Q27:Q28"/>
    <mergeCell ref="R27:R28"/>
    <mergeCell ref="Q25:Q26"/>
    <mergeCell ref="R25:R26"/>
    <mergeCell ref="T13:T14"/>
    <mergeCell ref="U13:U14"/>
    <mergeCell ref="V13:V14"/>
    <mergeCell ref="S15:V17"/>
    <mergeCell ref="S18:V20"/>
    <mergeCell ref="S13:S14"/>
    <mergeCell ref="S25:S26"/>
    <mergeCell ref="S27:S28"/>
    <mergeCell ref="P30:S30"/>
    <mergeCell ref="B2:E2"/>
    <mergeCell ref="B13:B19"/>
    <mergeCell ref="E13:J20"/>
    <mergeCell ref="E12:J12"/>
    <mergeCell ref="M13:M19"/>
    <mergeCell ref="N13:N19"/>
    <mergeCell ref="M20:N20"/>
    <mergeCell ref="E22:J22"/>
    <mergeCell ref="B23:B29"/>
    <mergeCell ref="E23:J30"/>
    <mergeCell ref="O13:O20"/>
    <mergeCell ref="P23:P24"/>
    <mergeCell ref="Q23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2025-11-06T09:13:08Z</dcterms:modified>
</cp:coreProperties>
</file>